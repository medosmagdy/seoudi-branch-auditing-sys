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oudisupermarket-my.sharepoint.com/personal/ahmed_gasser_seoudisupermarket_com/Documents/"/>
    </mc:Choice>
  </mc:AlternateContent>
  <xr:revisionPtr revIDLastSave="0" documentId="8_{02890CC7-97A8-5E4F-9777-61BCEA4C04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" sheetId="2" r:id="rId1"/>
    <sheet name="Checklist" sheetId="3" r:id="rId2"/>
    <sheet name="Related picture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18" i="2"/>
  <c r="D37" i="3"/>
  <c r="D38" i="3"/>
  <c r="I14" i="2"/>
  <c r="D57" i="3"/>
  <c r="D56" i="3"/>
  <c r="D55" i="3"/>
  <c r="D36" i="3"/>
  <c r="D50" i="3"/>
  <c r="D49" i="3"/>
  <c r="D48" i="3"/>
  <c r="D47" i="3"/>
  <c r="D43" i="3"/>
  <c r="D42" i="3"/>
  <c r="D41" i="3"/>
  <c r="D40" i="3"/>
  <c r="D39" i="3"/>
  <c r="D34" i="3"/>
  <c r="D33" i="3"/>
  <c r="D32" i="3"/>
  <c r="D31" i="3"/>
  <c r="D30" i="3"/>
  <c r="D29" i="3"/>
  <c r="D27" i="3"/>
  <c r="D26" i="3"/>
  <c r="D25" i="3"/>
  <c r="D24" i="3"/>
  <c r="D23" i="3"/>
  <c r="D4" i="3"/>
  <c r="D13" i="3"/>
  <c r="D12" i="3"/>
  <c r="D11" i="3"/>
  <c r="D8" i="3"/>
  <c r="D7" i="3"/>
  <c r="D6" i="3"/>
  <c r="D5" i="3"/>
  <c r="G35" i="2"/>
  <c r="D14" i="3"/>
  <c r="D44" i="3"/>
  <c r="D58" i="3"/>
  <c r="D51" i="3"/>
  <c r="D20" i="3"/>
  <c r="D59" i="3"/>
  <c r="G32" i="2"/>
  <c r="G33" i="2"/>
  <c r="I18" i="2"/>
  <c r="G34" i="2"/>
  <c r="I20" i="2"/>
  <c r="I19" i="2"/>
  <c r="I16" i="2"/>
  <c r="I17" i="2"/>
  <c r="I15" i="2"/>
</calcChain>
</file>

<file path=xl/sharedStrings.xml><?xml version="1.0" encoding="utf-8"?>
<sst xmlns="http://schemas.openxmlformats.org/spreadsheetml/2006/main" count="141" uniqueCount="132">
  <si>
    <r>
      <rPr>
        <b/>
        <sz val="11"/>
        <color theme="1"/>
        <rFont val="Calibri"/>
        <family val="2"/>
        <scheme val="minor"/>
      </rPr>
      <t xml:space="preserve">Department:        </t>
    </r>
    <r>
      <rPr>
        <sz val="11"/>
        <color theme="1"/>
        <rFont val="Calibri"/>
        <family val="2"/>
        <scheme val="minor"/>
      </rPr>
      <t xml:space="preserve"> Quality Assurance</t>
    </r>
  </si>
  <si>
    <r>
      <rPr>
        <b/>
        <sz val="11"/>
        <color theme="1"/>
        <rFont val="Calibri"/>
        <family val="2"/>
        <scheme val="minor"/>
      </rPr>
      <t xml:space="preserve">Procedure title:  </t>
    </r>
    <r>
      <rPr>
        <sz val="11"/>
        <color theme="1"/>
        <rFont val="Calibri"/>
        <family val="2"/>
        <scheme val="minor"/>
      </rPr>
      <t>Slaughtering Checklist</t>
    </r>
  </si>
  <si>
    <r>
      <rPr>
        <b/>
        <sz val="11"/>
        <color theme="1"/>
        <rFont val="Calibri"/>
        <family val="2"/>
        <scheme val="minor"/>
      </rPr>
      <t>Effective date:</t>
    </r>
    <r>
      <rPr>
        <sz val="11"/>
        <color theme="1"/>
        <rFont val="Calibri"/>
        <family val="2"/>
        <scheme val="minor"/>
      </rPr>
      <t xml:space="preserve">  1-1-2019</t>
    </r>
  </si>
  <si>
    <r>
      <rPr>
        <b/>
        <sz val="11"/>
        <color theme="1"/>
        <rFont val="Calibri"/>
        <family val="2"/>
        <scheme val="minor"/>
      </rPr>
      <t xml:space="preserve">Documents code:      </t>
    </r>
    <r>
      <rPr>
        <sz val="11"/>
        <color theme="1"/>
        <rFont val="Calibri"/>
        <family val="2"/>
        <scheme val="minor"/>
      </rPr>
      <t>QP-23-FM-01</t>
    </r>
  </si>
  <si>
    <r>
      <rPr>
        <b/>
        <sz val="11"/>
        <color theme="1"/>
        <rFont val="Calibri"/>
        <family val="2"/>
        <scheme val="minor"/>
      </rPr>
      <t xml:space="preserve">Prepared by:             </t>
    </r>
    <r>
      <rPr>
        <sz val="11"/>
        <color theme="1"/>
        <rFont val="Calibri"/>
        <family val="2"/>
        <scheme val="minor"/>
      </rPr>
      <t xml:space="preserve">Mostafa Esmail </t>
    </r>
  </si>
  <si>
    <r>
      <rPr>
        <b/>
        <sz val="11"/>
        <color theme="1"/>
        <rFont val="Calibri"/>
        <family val="2"/>
        <scheme val="minor"/>
      </rPr>
      <t xml:space="preserve">Prepared date: </t>
    </r>
    <r>
      <rPr>
        <sz val="11"/>
        <color theme="1"/>
        <rFont val="Calibri"/>
        <family val="2"/>
        <scheme val="minor"/>
      </rPr>
      <t>1-1-2019</t>
    </r>
  </si>
  <si>
    <r>
      <rPr>
        <b/>
        <sz val="11"/>
        <color theme="1"/>
        <rFont val="Calibri"/>
        <family val="2"/>
        <scheme val="minor"/>
      </rPr>
      <t xml:space="preserve">Version:                                </t>
    </r>
    <r>
      <rPr>
        <sz val="11"/>
        <color theme="1"/>
        <rFont val="Calibri"/>
        <family val="2"/>
        <scheme val="minor"/>
      </rPr>
      <t>1</t>
    </r>
  </si>
  <si>
    <r>
      <rPr>
        <b/>
        <sz val="11"/>
        <color theme="1"/>
        <rFont val="Calibri"/>
        <family val="2"/>
        <scheme val="minor"/>
      </rPr>
      <t xml:space="preserve">Reviewed by:      </t>
    </r>
    <r>
      <rPr>
        <sz val="11"/>
        <color theme="1"/>
        <rFont val="Calibri"/>
        <family val="2"/>
        <scheme val="minor"/>
      </rPr>
      <t>Abd El Hadi Mohamed</t>
    </r>
  </si>
  <si>
    <r>
      <rPr>
        <b/>
        <sz val="11"/>
        <color theme="1"/>
        <rFont val="Calibri"/>
        <family val="2"/>
        <scheme val="minor"/>
      </rPr>
      <t xml:space="preserve">Reviewed date: </t>
    </r>
    <r>
      <rPr>
        <sz val="11"/>
        <color theme="1"/>
        <rFont val="Calibri"/>
        <family val="2"/>
        <scheme val="minor"/>
      </rPr>
      <t>1-1-2019</t>
    </r>
  </si>
  <si>
    <r>
      <rPr>
        <b/>
        <sz val="11"/>
        <color theme="1"/>
        <rFont val="Calibri"/>
        <family val="2"/>
        <scheme val="minor"/>
      </rPr>
      <t xml:space="preserve">Edition:                              </t>
    </r>
    <r>
      <rPr>
        <sz val="11"/>
        <color theme="1"/>
        <rFont val="Calibri"/>
        <family val="2"/>
        <scheme val="minor"/>
      </rPr>
      <t xml:space="preserve"> 0/5</t>
    </r>
  </si>
  <si>
    <r>
      <rPr>
        <b/>
        <sz val="11"/>
        <color theme="1"/>
        <rFont val="Calibri"/>
        <family val="2"/>
        <scheme val="minor"/>
      </rPr>
      <t>Approved by:</t>
    </r>
    <r>
      <rPr>
        <sz val="11"/>
        <color theme="1"/>
        <rFont val="Calibri"/>
        <family val="2"/>
        <scheme val="minor"/>
      </rPr>
      <t xml:space="preserve">       Mr. Mohamed Seoudi</t>
    </r>
  </si>
  <si>
    <r>
      <rPr>
        <b/>
        <sz val="11"/>
        <color theme="1"/>
        <rFont val="Calibri"/>
        <family val="2"/>
        <scheme val="minor"/>
      </rPr>
      <t>Approved date:</t>
    </r>
    <r>
      <rPr>
        <sz val="11"/>
        <color theme="1"/>
        <rFont val="Calibri"/>
        <family val="2"/>
        <scheme val="minor"/>
      </rPr>
      <t xml:space="preserve"> 1-1-2019</t>
    </r>
  </si>
  <si>
    <t>Slaughtering Information:</t>
  </si>
  <si>
    <t>Date:</t>
  </si>
  <si>
    <t>Farm:</t>
  </si>
  <si>
    <t>Family</t>
  </si>
  <si>
    <t>Location:</t>
  </si>
  <si>
    <t>fayoum</t>
  </si>
  <si>
    <t>Slaughterhouse:</t>
  </si>
  <si>
    <t>Al Salam</t>
  </si>
  <si>
    <t>Cairo</t>
  </si>
  <si>
    <t>Animal type:</t>
  </si>
  <si>
    <t>Native breed bulls</t>
  </si>
  <si>
    <t>Trip duration:</t>
  </si>
  <si>
    <t xml:space="preserve">2 hours </t>
  </si>
  <si>
    <t>Number:</t>
  </si>
  <si>
    <t>Received:</t>
  </si>
  <si>
    <t>Exception</t>
  </si>
  <si>
    <t>Rejected:</t>
  </si>
  <si>
    <t>Exception %</t>
  </si>
  <si>
    <t>Farm weight:</t>
  </si>
  <si>
    <t>Av. farm weight:</t>
  </si>
  <si>
    <t>Receiving weight:</t>
  </si>
  <si>
    <t>Av. receiving weight:</t>
  </si>
  <si>
    <t>Rejected weight:</t>
  </si>
  <si>
    <t>Av. rejected weight:</t>
  </si>
  <si>
    <t>Transportation loss:</t>
  </si>
  <si>
    <t>Trans. Loss %:</t>
  </si>
  <si>
    <t>Carcass weight:</t>
  </si>
  <si>
    <t>Av.carcass weight:</t>
  </si>
  <si>
    <t>Fat weight:</t>
  </si>
  <si>
    <t>Av. Fat weight:</t>
  </si>
  <si>
    <t>Condemnation:</t>
  </si>
  <si>
    <t>4 livers - 1 flank - 12 kidneys - 1 heart  - 3 lungs  - 1 spleen</t>
  </si>
  <si>
    <t>Total cond. weight:</t>
  </si>
  <si>
    <t>Chilled trucks:</t>
  </si>
  <si>
    <t>Truck number</t>
  </si>
  <si>
    <t>Departure temp.</t>
  </si>
  <si>
    <t>20 ℃</t>
  </si>
  <si>
    <t>21 ℃</t>
  </si>
  <si>
    <t>Key Performance Indicators (KPIs):</t>
  </si>
  <si>
    <t>Slaughtering evaluation</t>
  </si>
  <si>
    <t xml:space="preserve">AM &amp; PM examination </t>
  </si>
  <si>
    <t>Transportation loss</t>
  </si>
  <si>
    <t>Dressing</t>
  </si>
  <si>
    <t>Important slaughtering notes:</t>
  </si>
  <si>
    <t>1. Rejection of:</t>
  </si>
  <si>
    <t>1. 1 carcass due to Sarcocystic eosinophilic myositis.</t>
  </si>
  <si>
    <t>2. ⁠1 carcass due to generalized pyemia.</t>
  </si>
  <si>
    <t>2. Trimming of:</t>
  </si>
  <si>
    <t>1. Injection sites in 10 carcasses.</t>
  </si>
  <si>
    <t>2. Bruises in 1 carcass.</t>
  </si>
  <si>
    <t>3. Abscesses in 25 carcasses.</t>
  </si>
  <si>
    <t>3. Condemnation of:</t>
  </si>
  <si>
    <t>1. 4 livers due to telangiectasis, abscesses and Fasciola.</t>
  </si>
  <si>
    <t>2. 1 Flank due to TB.</t>
  </si>
  <si>
    <t>3. 12 kidneys due to hydronephrosis.</t>
  </si>
  <si>
    <t>4. 1 heart due to pericarditis.</t>
  </si>
  <si>
    <t>5. 3 lungs due to pneumonia.</t>
  </si>
  <si>
    <t>6. 1 spleen due to large abscess.</t>
  </si>
  <si>
    <t>Meat quality checklist</t>
  </si>
  <si>
    <t xml:space="preserve">    </t>
  </si>
  <si>
    <t>1. Ante-mortem examination:</t>
  </si>
  <si>
    <t>Total</t>
  </si>
  <si>
    <t>nonconformity</t>
  </si>
  <si>
    <t>Degree</t>
  </si>
  <si>
    <t>Notes</t>
  </si>
  <si>
    <t>Transportation truck:</t>
  </si>
  <si>
    <t>Rough handling:</t>
  </si>
  <si>
    <t>Over capacity:</t>
  </si>
  <si>
    <t>Animal identification:</t>
  </si>
  <si>
    <t>Age</t>
  </si>
  <si>
    <t>Animals hygienic conditions</t>
  </si>
  <si>
    <t>General health condition:</t>
  </si>
  <si>
    <t xml:space="preserve">Lymph nodes </t>
  </si>
  <si>
    <t>Skin diseases</t>
  </si>
  <si>
    <t>External parasites</t>
  </si>
  <si>
    <t>Body condition scores</t>
  </si>
  <si>
    <t>Total:</t>
  </si>
  <si>
    <t>2. Slaughterhouse hygienic condition:</t>
  </si>
  <si>
    <t xml:space="preserve">Facilities </t>
  </si>
  <si>
    <t>Tools</t>
  </si>
  <si>
    <t>Employee</t>
  </si>
  <si>
    <t>3. Post mortem examination:</t>
  </si>
  <si>
    <t>Proper killing:</t>
  </si>
  <si>
    <t>Completely dead before cutting spinal cord:</t>
  </si>
  <si>
    <t>Bleeding:</t>
  </si>
  <si>
    <t>Flaying process:</t>
  </si>
  <si>
    <t>Bruises:</t>
  </si>
  <si>
    <t>Injection site blemishes - abscesses - bruises</t>
  </si>
  <si>
    <t>Evisceration efficacy:</t>
  </si>
  <si>
    <t>Urinary bladder:</t>
  </si>
  <si>
    <t>Intestine:</t>
  </si>
  <si>
    <t>Rumen:</t>
  </si>
  <si>
    <t>splenomegaly</t>
  </si>
  <si>
    <t>Gall bladder:</t>
  </si>
  <si>
    <t>Examination of cacass L.N.:</t>
  </si>
  <si>
    <t>tb</t>
  </si>
  <si>
    <t>Examination of head:</t>
  </si>
  <si>
    <t>Examination of organs:</t>
  </si>
  <si>
    <t>lung:</t>
  </si>
  <si>
    <t>pneumonia</t>
  </si>
  <si>
    <t>Liver:</t>
  </si>
  <si>
    <t>abscesses</t>
  </si>
  <si>
    <t>Kidney:</t>
  </si>
  <si>
    <t>hydronephrosis</t>
  </si>
  <si>
    <t>Heart:</t>
  </si>
  <si>
    <t>pericarditis</t>
  </si>
  <si>
    <t>Jaundice:</t>
  </si>
  <si>
    <t>Contamination:</t>
  </si>
  <si>
    <t>Stamp:</t>
  </si>
  <si>
    <t>4. Meat quality score:</t>
  </si>
  <si>
    <t>Meat Color:</t>
  </si>
  <si>
    <t>Fat color:</t>
  </si>
  <si>
    <t>Marbling:</t>
  </si>
  <si>
    <t>Firmness:</t>
  </si>
  <si>
    <t xml:space="preserve">5. Meat transportation: </t>
  </si>
  <si>
    <t>Cleaning and sanitation</t>
  </si>
  <si>
    <t>Proper food grade packging material</t>
  </si>
  <si>
    <t>Cooling:</t>
  </si>
  <si>
    <t>Capacity:</t>
  </si>
  <si>
    <t>SCORE: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</si>
</sst>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[$-409]d/mmm/yyyy;@"/>
    <numFmt numFmtId="167" formatCode="0\ &quot;℃&quot;"/>
    <numFmt numFmtId="168" formatCode="#,###\ &quot;kg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87">
    <xf numFmtId="0" fontId="0" fillId="0" borderId="0" xfId="0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0" borderId="0" xfId="0" applyFont="1"/>
    <xf numFmtId="0" fontId="3" fillId="0" borderId="0" xfId="2" applyFont="1"/>
    <xf numFmtId="0" fontId="1" fillId="0" borderId="0" xfId="2" applyFont="1" applyAlignment="1">
      <alignment horizontal="center"/>
    </xf>
    <xf numFmtId="0" fontId="1" fillId="0" borderId="0" xfId="2" applyFont="1"/>
    <xf numFmtId="0" fontId="1" fillId="0" borderId="7" xfId="2" applyFont="1" applyBorder="1" applyAlignment="1">
      <alignment horizontal="center"/>
    </xf>
    <xf numFmtId="164" fontId="1" fillId="0" borderId="7" xfId="2" applyNumberFormat="1" applyFont="1" applyBorder="1" applyAlignment="1">
      <alignment horizontal="center"/>
    </xf>
    <xf numFmtId="0" fontId="1" fillId="0" borderId="0" xfId="2" applyFont="1" applyAlignment="1">
      <alignment horizontal="left" vertical="center" readingOrder="1"/>
    </xf>
    <xf numFmtId="0" fontId="5" fillId="2" borderId="8" xfId="2" applyFont="1" applyFill="1" applyBorder="1" applyAlignment="1">
      <alignment horizontal="left" vertical="center" readingOrder="1"/>
    </xf>
    <xf numFmtId="0" fontId="2" fillId="2" borderId="9" xfId="2" applyFont="1" applyFill="1" applyBorder="1" applyAlignment="1">
      <alignment horizontal="center"/>
    </xf>
    <xf numFmtId="0" fontId="1" fillId="2" borderId="9" xfId="2" applyFont="1" applyFill="1" applyBorder="1" applyAlignment="1">
      <alignment horizontal="center" shrinkToFit="1"/>
    </xf>
    <xf numFmtId="0" fontId="2" fillId="2" borderId="10" xfId="2" applyFont="1" applyFill="1" applyBorder="1" applyAlignment="1">
      <alignment horizontal="left" vertical="center" readingOrder="1"/>
    </xf>
    <xf numFmtId="0" fontId="2" fillId="2" borderId="11" xfId="2" applyFont="1" applyFill="1" applyBorder="1" applyAlignment="1">
      <alignment horizontal="left" vertical="center" indent="1" readingOrder="1"/>
    </xf>
    <xf numFmtId="0" fontId="1" fillId="0" borderId="12" xfId="2" applyFont="1" applyBorder="1" applyAlignment="1">
      <alignment horizontal="left" vertical="center" readingOrder="1"/>
    </xf>
    <xf numFmtId="0" fontId="2" fillId="2" borderId="11" xfId="2" applyFont="1" applyFill="1" applyBorder="1" applyAlignment="1">
      <alignment horizontal="left" vertical="center" indent="5" readingOrder="1"/>
    </xf>
    <xf numFmtId="0" fontId="2" fillId="2" borderId="13" xfId="2" applyFont="1" applyFill="1" applyBorder="1" applyAlignment="1">
      <alignment horizontal="left" vertical="center" indent="1" readingOrder="1"/>
    </xf>
    <xf numFmtId="0" fontId="1" fillId="0" borderId="14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/>
    </xf>
    <xf numFmtId="164" fontId="1" fillId="0" borderId="14" xfId="2" applyNumberFormat="1" applyFont="1" applyBorder="1" applyAlignment="1">
      <alignment horizontal="center"/>
    </xf>
    <xf numFmtId="0" fontId="2" fillId="2" borderId="16" xfId="2" applyFont="1" applyFill="1" applyBorder="1" applyAlignment="1">
      <alignment horizontal="center" vertical="center" readingOrder="1"/>
    </xf>
    <xf numFmtId="0" fontId="2" fillId="2" borderId="17" xfId="2" applyFont="1" applyFill="1" applyBorder="1" applyAlignment="1">
      <alignment horizontal="center" vertical="center" readingOrder="1"/>
    </xf>
    <xf numFmtId="164" fontId="2" fillId="2" borderId="18" xfId="2" applyNumberFormat="1" applyFont="1" applyFill="1" applyBorder="1" applyAlignment="1">
      <alignment horizontal="center"/>
    </xf>
    <xf numFmtId="0" fontId="1" fillId="2" borderId="9" xfId="2" applyFont="1" applyFill="1" applyBorder="1" applyAlignment="1">
      <alignment horizontal="center"/>
    </xf>
    <xf numFmtId="0" fontId="1" fillId="2" borderId="10" xfId="2" applyFont="1" applyFill="1" applyBorder="1" applyAlignment="1">
      <alignment horizontal="left" vertical="center" readingOrder="1"/>
    </xf>
    <xf numFmtId="0" fontId="1" fillId="0" borderId="15" xfId="2" applyFont="1" applyBorder="1" applyAlignment="1">
      <alignment horizontal="left" vertical="center" readingOrder="1"/>
    </xf>
    <xf numFmtId="2" fontId="2" fillId="2" borderId="18" xfId="2" applyNumberFormat="1" applyFont="1" applyFill="1" applyBorder="1" applyAlignment="1">
      <alignment horizontal="center"/>
    </xf>
    <xf numFmtId="0" fontId="2" fillId="2" borderId="13" xfId="2" applyFont="1" applyFill="1" applyBorder="1" applyAlignment="1">
      <alignment horizontal="left" vertical="center" indent="5" readingOrder="1"/>
    </xf>
    <xf numFmtId="165" fontId="2" fillId="2" borderId="18" xfId="2" applyNumberFormat="1" applyFont="1" applyFill="1" applyBorder="1" applyAlignment="1">
      <alignment horizontal="center"/>
    </xf>
    <xf numFmtId="0" fontId="0" fillId="0" borderId="7" xfId="2" applyFont="1" applyBorder="1" applyAlignment="1">
      <alignment horizontal="center"/>
    </xf>
    <xf numFmtId="0" fontId="0" fillId="0" borderId="12" xfId="2" applyFont="1" applyBorder="1" applyAlignment="1">
      <alignment horizontal="left" vertical="center" readingOrder="1"/>
    </xf>
    <xf numFmtId="168" fontId="0" fillId="0" borderId="0" xfId="0" applyNumberFormat="1" applyAlignment="1">
      <alignment horizontal="center" vertical="center"/>
    </xf>
    <xf numFmtId="0" fontId="1" fillId="3" borderId="0" xfId="2" applyFont="1" applyFill="1" applyAlignment="1">
      <alignment vertical="center" readingOrder="1"/>
    </xf>
    <xf numFmtId="0" fontId="1" fillId="3" borderId="4" xfId="2" applyFont="1" applyFill="1" applyBorder="1"/>
    <xf numFmtId="0" fontId="1" fillId="3" borderId="5" xfId="2" applyFont="1" applyFill="1" applyBorder="1"/>
    <xf numFmtId="0" fontId="1" fillId="3" borderId="19" xfId="2" applyFont="1" applyFill="1" applyBorder="1"/>
    <xf numFmtId="0" fontId="0" fillId="0" borderId="0" xfId="2" applyFont="1"/>
    <xf numFmtId="0" fontId="0" fillId="0" borderId="15" xfId="2" applyFont="1" applyBorder="1" applyAlignment="1">
      <alignment horizontal="left" vertical="center" wrapText="1" readingOrder="1"/>
    </xf>
    <xf numFmtId="0" fontId="0" fillId="0" borderId="0" xfId="2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indent="1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8" fontId="0" fillId="0" borderId="4" xfId="0" applyNumberFormat="1" applyBorder="1" applyAlignment="1">
      <alignment horizontal="center" vertical="center" wrapText="1"/>
    </xf>
    <xf numFmtId="168" fontId="0" fillId="0" borderId="6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8" fontId="0" fillId="0" borderId="20" xfId="0" applyNumberFormat="1" applyBorder="1" applyAlignment="1">
      <alignment horizontal="center" vertical="center" wrapText="1"/>
    </xf>
    <xf numFmtId="168" fontId="0" fillId="0" borderId="2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8" fontId="0" fillId="0" borderId="3" xfId="0" applyNumberFormat="1" applyBorder="1" applyAlignment="1">
      <alignment horizontal="center" vertical="center" wrapText="1"/>
    </xf>
    <xf numFmtId="165" fontId="0" fillId="0" borderId="4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1" fillId="0" borderId="0" xfId="2" applyFont="1" applyAlignment="1">
      <alignment horizontal="center" vertical="center" readingOrder="1"/>
    </xf>
    <xf numFmtId="0" fontId="1" fillId="0" borderId="4" xfId="2" applyFont="1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1" fillId="0" borderId="19" xfId="2" applyFon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10" Type="http://schemas.openxmlformats.org/officeDocument/2006/relationships/customXml" Target="../customXml/item3.xml" /><Relationship Id="rId4" Type="http://schemas.openxmlformats.org/officeDocument/2006/relationships/theme" Target="theme/theme1.xml" /><Relationship Id="rId9" Type="http://schemas.openxmlformats.org/officeDocument/2006/relationships/customXml" Target="../customXml/item2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 /><Relationship Id="rId2" Type="http://schemas.openxmlformats.org/officeDocument/2006/relationships/image" Target="../media/image3.jpg" /><Relationship Id="rId1" Type="http://schemas.openxmlformats.org/officeDocument/2006/relationships/image" Target="../media/image2.jpg" /><Relationship Id="rId6" Type="http://schemas.openxmlformats.org/officeDocument/2006/relationships/image" Target="../media/image7.jpg" /><Relationship Id="rId5" Type="http://schemas.openxmlformats.org/officeDocument/2006/relationships/image" Target="../media/image6.jpg" /><Relationship Id="rId4" Type="http://schemas.openxmlformats.org/officeDocument/2006/relationships/image" Target="../media/image5.jpg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120650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20197F1-69EA-4063-A012-70B4F87977AB}"/>
            </a:ext>
          </a:extLst>
        </xdr:cNvPr>
        <xdr:cNvSpPr>
          <a:spLocks noChangeAspect="1" noChangeArrowheads="1"/>
        </xdr:cNvSpPr>
      </xdr:nvSpPr>
      <xdr:spPr bwMode="auto">
        <a:xfrm>
          <a:off x="1866900" y="23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7620</xdr:colOff>
      <xdr:row>1</xdr:row>
      <xdr:rowOff>15240</xdr:rowOff>
    </xdr:from>
    <xdr:to>
      <xdr:col>5</xdr:col>
      <xdr:colOff>0</xdr:colOff>
      <xdr:row>15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7E26566-83A1-2A81-278F-F2FB99B60A3D}"/>
            </a:ext>
          </a:extLst>
        </xdr:cNvPr>
        <xdr:cNvSpPr/>
      </xdr:nvSpPr>
      <xdr:spPr>
        <a:xfrm>
          <a:off x="617220" y="198120"/>
          <a:ext cx="2430780" cy="2545080"/>
        </a:xfrm>
        <a:prstGeom prst="rect">
          <a:avLst/>
        </a:prstGeom>
        <a:blipFill>
          <a:blip xmlns:r="http://schemas.openxmlformats.org/officeDocument/2006/relationships" r:embed="rId1"/>
          <a:srcRect/>
          <a:stretch>
            <a:fillRect t="-2266" b="-2266"/>
          </a:stretch>
        </a:blip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15240</xdr:colOff>
      <xdr:row>1</xdr:row>
      <xdr:rowOff>15240</xdr:rowOff>
    </xdr:from>
    <xdr:to>
      <xdr:col>10</xdr:col>
      <xdr:colOff>7620</xdr:colOff>
      <xdr:row>15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72C9BA5F-8BF8-4E58-AE08-82C784981F53}"/>
            </a:ext>
          </a:extLst>
        </xdr:cNvPr>
        <xdr:cNvSpPr/>
      </xdr:nvSpPr>
      <xdr:spPr>
        <a:xfrm>
          <a:off x="3672840" y="198120"/>
          <a:ext cx="2430780" cy="2545080"/>
        </a:xfrm>
        <a:prstGeom prst="rect">
          <a:avLst/>
        </a:prstGeom>
        <a:blipFill>
          <a:blip xmlns:r="http://schemas.openxmlformats.org/officeDocument/2006/relationships" r:embed="rId2"/>
          <a:srcRect/>
          <a:stretch>
            <a:fillRect t="-2266" b="-2266"/>
          </a:stretch>
        </a:blip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586740</xdr:colOff>
      <xdr:row>16</xdr:row>
      <xdr:rowOff>175260</xdr:rowOff>
    </xdr:from>
    <xdr:to>
      <xdr:col>9</xdr:col>
      <xdr:colOff>579120</xdr:colOff>
      <xdr:row>30</xdr:row>
      <xdr:rowOff>160020</xdr:rowOff>
    </xdr:to>
    <xdr:sp macro="" textlink="">
      <xdr:nvSpPr>
        <xdr:cNvPr id="24" name="Rectangle 6">
          <a:extLst>
            <a:ext uri="{FF2B5EF4-FFF2-40B4-BE49-F238E27FC236}">
              <a16:creationId xmlns:a16="http://schemas.microsoft.com/office/drawing/2014/main" id="{8C9D8A8A-A49E-4AF0-9ACB-F05BDFB98BC8}"/>
            </a:ext>
          </a:extLst>
        </xdr:cNvPr>
        <xdr:cNvSpPr/>
      </xdr:nvSpPr>
      <xdr:spPr>
        <a:xfrm>
          <a:off x="3634740" y="3101340"/>
          <a:ext cx="2430780" cy="2545080"/>
        </a:xfrm>
        <a:prstGeom prst="rect">
          <a:avLst/>
        </a:prstGeom>
        <a:blipFill>
          <a:blip xmlns:r="http://schemas.openxmlformats.org/officeDocument/2006/relationships" r:embed="rId3"/>
          <a:srcRect/>
          <a:stretch>
            <a:fillRect t="-2266" b="-2266"/>
          </a:stretch>
        </a:blip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594360</xdr:colOff>
      <xdr:row>17</xdr:row>
      <xdr:rowOff>15240</xdr:rowOff>
    </xdr:from>
    <xdr:to>
      <xdr:col>4</xdr:col>
      <xdr:colOff>586740</xdr:colOff>
      <xdr:row>31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365DAF18-4070-43D3-9FE8-C3526585A53F}"/>
            </a:ext>
          </a:extLst>
        </xdr:cNvPr>
        <xdr:cNvSpPr/>
      </xdr:nvSpPr>
      <xdr:spPr>
        <a:xfrm>
          <a:off x="594360" y="3124200"/>
          <a:ext cx="2430780" cy="2545080"/>
        </a:xfrm>
        <a:prstGeom prst="rect">
          <a:avLst/>
        </a:prstGeom>
        <a:blipFill>
          <a:blip xmlns:r="http://schemas.openxmlformats.org/officeDocument/2006/relationships" r:embed="rId4"/>
          <a:srcRect/>
          <a:stretch>
            <a:fillRect t="-2266" b="-2266"/>
          </a:stretch>
        </a:blip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</xdr:colOff>
      <xdr:row>1</xdr:row>
      <xdr:rowOff>0</xdr:rowOff>
    </xdr:from>
    <xdr:to>
      <xdr:col>15</xdr:col>
      <xdr:colOff>7620</xdr:colOff>
      <xdr:row>14</xdr:row>
      <xdr:rowOff>167640</xdr:rowOff>
    </xdr:to>
    <xdr:sp macro="" textlink="">
      <xdr:nvSpPr>
        <xdr:cNvPr id="20" name="Rectangle 8">
          <a:extLst>
            <a:ext uri="{FF2B5EF4-FFF2-40B4-BE49-F238E27FC236}">
              <a16:creationId xmlns:a16="http://schemas.microsoft.com/office/drawing/2014/main" id="{45D77A26-4978-494F-94F7-F1C7A6CD166F}"/>
            </a:ext>
          </a:extLst>
        </xdr:cNvPr>
        <xdr:cNvSpPr/>
      </xdr:nvSpPr>
      <xdr:spPr>
        <a:xfrm>
          <a:off x="6720840" y="182880"/>
          <a:ext cx="2430780" cy="2545080"/>
        </a:xfrm>
        <a:prstGeom prst="rect">
          <a:avLst/>
        </a:prstGeom>
        <a:blipFill>
          <a:blip xmlns:r="http://schemas.openxmlformats.org/officeDocument/2006/relationships" r:embed="rId5"/>
          <a:srcRect/>
          <a:stretch>
            <a:fillRect t="-2266" b="-2266"/>
          </a:stretch>
        </a:blip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</xdr:colOff>
      <xdr:row>16</xdr:row>
      <xdr:rowOff>160020</xdr:rowOff>
    </xdr:from>
    <xdr:to>
      <xdr:col>15</xdr:col>
      <xdr:colOff>7620</xdr:colOff>
      <xdr:row>30</xdr:row>
      <xdr:rowOff>144780</xdr:rowOff>
    </xdr:to>
    <xdr:sp macro="" textlink="">
      <xdr:nvSpPr>
        <xdr:cNvPr id="26" name="Rectangle 9">
          <a:extLst>
            <a:ext uri="{FF2B5EF4-FFF2-40B4-BE49-F238E27FC236}">
              <a16:creationId xmlns:a16="http://schemas.microsoft.com/office/drawing/2014/main" id="{15ABA927-B5F9-4094-BCB7-126096CBF9D4}"/>
            </a:ext>
          </a:extLst>
        </xdr:cNvPr>
        <xdr:cNvSpPr/>
      </xdr:nvSpPr>
      <xdr:spPr>
        <a:xfrm>
          <a:off x="6720840" y="3086100"/>
          <a:ext cx="2430780" cy="2545080"/>
        </a:xfrm>
        <a:prstGeom prst="rect">
          <a:avLst/>
        </a:prstGeom>
        <a:blipFill>
          <a:blip xmlns:r="http://schemas.openxmlformats.org/officeDocument/2006/relationships" r:embed="rId6"/>
          <a:srcRect/>
          <a:stretch>
            <a:fillRect t="-2266" b="-2266"/>
          </a:stretch>
        </a:blip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51"/>
  <sheetViews>
    <sheetView showGridLines="0" tabSelected="1" showRuler="0" zoomScaleNormal="100" zoomScaleSheetLayoutView="85" zoomScalePageLayoutView="115" workbookViewId="0">
      <selection activeCell="D21" sqref="D21:E22"/>
    </sheetView>
  </sheetViews>
  <sheetFormatPr defaultRowHeight="15" x14ac:dyDescent="0.2"/>
  <cols>
    <col min="4" max="5" width="14.66015625" customWidth="1"/>
  </cols>
  <sheetData>
    <row r="2" spans="1:11" x14ac:dyDescent="0.2">
      <c r="A2" s="1" t="s">
        <v>0</v>
      </c>
      <c r="B2" s="2"/>
      <c r="C2" s="2"/>
      <c r="D2" s="3"/>
      <c r="E2" s="1" t="s">
        <v>1</v>
      </c>
      <c r="F2" s="2"/>
      <c r="G2" s="2"/>
      <c r="H2" s="3"/>
      <c r="I2" s="1" t="s">
        <v>2</v>
      </c>
      <c r="J2" s="2"/>
      <c r="K2" s="3"/>
    </row>
    <row r="3" spans="1:11" x14ac:dyDescent="0.2">
      <c r="A3" s="1" t="s">
        <v>3</v>
      </c>
      <c r="B3" s="2"/>
      <c r="C3" s="2"/>
      <c r="D3" s="3"/>
      <c r="E3" s="1" t="s">
        <v>4</v>
      </c>
      <c r="F3" s="2"/>
      <c r="G3" s="2"/>
      <c r="H3" s="3"/>
      <c r="I3" s="1" t="s">
        <v>5</v>
      </c>
      <c r="J3" s="2"/>
      <c r="K3" s="3"/>
    </row>
    <row r="4" spans="1:11" x14ac:dyDescent="0.2">
      <c r="A4" s="1" t="s">
        <v>6</v>
      </c>
      <c r="B4" s="2"/>
      <c r="C4" s="2"/>
      <c r="D4" s="3"/>
      <c r="E4" s="4" t="s">
        <v>7</v>
      </c>
      <c r="F4" s="5"/>
      <c r="G4" s="5"/>
      <c r="H4" s="6"/>
      <c r="I4" s="1" t="s">
        <v>8</v>
      </c>
      <c r="J4" s="2"/>
      <c r="K4" s="3"/>
    </row>
    <row r="5" spans="1:11" x14ac:dyDescent="0.2">
      <c r="A5" s="1" t="s">
        <v>9</v>
      </c>
      <c r="B5" s="2"/>
      <c r="C5" s="2"/>
      <c r="D5" s="3"/>
      <c r="E5" s="1" t="s">
        <v>10</v>
      </c>
      <c r="F5" s="2"/>
      <c r="G5" s="2"/>
      <c r="H5" s="3"/>
      <c r="I5" s="1" t="s">
        <v>11</v>
      </c>
      <c r="J5" s="2"/>
      <c r="K5" s="3"/>
    </row>
    <row r="7" spans="1:11" ht="18.75" x14ac:dyDescent="0.25">
      <c r="A7" s="14" t="s">
        <v>12</v>
      </c>
      <c r="E7" s="7"/>
    </row>
    <row r="8" spans="1:11" x14ac:dyDescent="0.2">
      <c r="A8" s="9"/>
      <c r="B8" s="10" t="s">
        <v>13</v>
      </c>
      <c r="C8" s="11"/>
      <c r="D8" s="61">
        <v>46278</v>
      </c>
      <c r="E8" s="62"/>
      <c r="F8" s="7"/>
      <c r="G8" s="7"/>
      <c r="H8" s="7"/>
      <c r="I8" s="7"/>
      <c r="J8" s="7"/>
    </row>
    <row r="9" spans="1:11" x14ac:dyDescent="0.2">
      <c r="A9" s="9"/>
      <c r="B9" s="10" t="s">
        <v>14</v>
      </c>
      <c r="C9" s="11"/>
      <c r="D9" s="63" t="s">
        <v>15</v>
      </c>
      <c r="E9" s="64"/>
      <c r="F9" s="7"/>
      <c r="G9" s="10" t="s">
        <v>16</v>
      </c>
      <c r="H9" s="11"/>
      <c r="I9" s="63" t="s">
        <v>17</v>
      </c>
      <c r="J9" s="64"/>
    </row>
    <row r="10" spans="1:11" x14ac:dyDescent="0.2">
      <c r="A10" s="9"/>
      <c r="B10" s="10" t="s">
        <v>18</v>
      </c>
      <c r="C10" s="11"/>
      <c r="D10" s="63" t="s">
        <v>19</v>
      </c>
      <c r="E10" s="64"/>
      <c r="F10" s="7"/>
      <c r="G10" s="12" t="s">
        <v>16</v>
      </c>
      <c r="H10" s="13"/>
      <c r="I10" s="63" t="s">
        <v>20</v>
      </c>
      <c r="J10" s="64"/>
    </row>
    <row r="11" spans="1:11" x14ac:dyDescent="0.2">
      <c r="A11" s="9"/>
      <c r="B11" s="10" t="s">
        <v>21</v>
      </c>
      <c r="C11" s="11"/>
      <c r="D11" s="63" t="s">
        <v>22</v>
      </c>
      <c r="E11" s="64"/>
      <c r="F11" s="7"/>
      <c r="G11" s="10" t="s">
        <v>23</v>
      </c>
      <c r="H11" s="11"/>
      <c r="I11" s="63" t="s">
        <v>24</v>
      </c>
      <c r="J11" s="64"/>
    </row>
    <row r="12" spans="1:11" x14ac:dyDescent="0.2">
      <c r="A12" s="9"/>
      <c r="B12" s="10" t="s">
        <v>25</v>
      </c>
      <c r="C12" s="11"/>
      <c r="D12" s="65">
        <v>68</v>
      </c>
      <c r="E12" s="66"/>
      <c r="F12" s="7"/>
      <c r="G12" s="7"/>
      <c r="H12" s="7"/>
      <c r="I12" s="8"/>
      <c r="J12" s="7"/>
    </row>
    <row r="13" spans="1:11" x14ac:dyDescent="0.2">
      <c r="A13" s="9"/>
      <c r="B13" s="10" t="s">
        <v>26</v>
      </c>
      <c r="C13" s="11"/>
      <c r="D13" s="65">
        <v>66</v>
      </c>
      <c r="E13" s="66"/>
      <c r="F13" s="7"/>
      <c r="G13" s="10" t="s">
        <v>27</v>
      </c>
      <c r="H13" s="11"/>
      <c r="I13" s="65">
        <v>0</v>
      </c>
      <c r="J13" s="66"/>
    </row>
    <row r="14" spans="1:11" x14ac:dyDescent="0.2">
      <c r="A14" s="9"/>
      <c r="B14" s="10" t="s">
        <v>28</v>
      </c>
      <c r="C14" s="11"/>
      <c r="D14" s="65">
        <f>D12-D13</f>
        <v>2</v>
      </c>
      <c r="E14" s="66"/>
      <c r="F14" s="7"/>
      <c r="G14" s="10" t="s">
        <v>29</v>
      </c>
      <c r="H14" s="11"/>
      <c r="I14" s="67">
        <f>I13/D13</f>
        <v>0</v>
      </c>
      <c r="J14" s="68"/>
    </row>
    <row r="15" spans="1:11" x14ac:dyDescent="0.2">
      <c r="A15" s="9"/>
      <c r="B15" s="10" t="s">
        <v>30</v>
      </c>
      <c r="C15" s="11"/>
      <c r="D15" s="59">
        <v>28943</v>
      </c>
      <c r="E15" s="60"/>
      <c r="F15" s="7"/>
      <c r="G15" s="10" t="s">
        <v>31</v>
      </c>
      <c r="H15" s="11"/>
      <c r="I15" s="69">
        <f>D15/D12</f>
        <v>425.63235294117646</v>
      </c>
      <c r="J15" s="60"/>
    </row>
    <row r="16" spans="1:11" x14ac:dyDescent="0.2">
      <c r="A16" s="9"/>
      <c r="B16" s="10" t="s">
        <v>32</v>
      </c>
      <c r="C16" s="11"/>
      <c r="D16" s="59">
        <v>28943</v>
      </c>
      <c r="E16" s="60"/>
      <c r="F16" s="7"/>
      <c r="G16" s="10" t="s">
        <v>33</v>
      </c>
      <c r="H16" s="11"/>
      <c r="I16" s="69">
        <f>D16/D12</f>
        <v>425.63235294117646</v>
      </c>
      <c r="J16" s="60"/>
    </row>
    <row r="17" spans="1:10" x14ac:dyDescent="0.2">
      <c r="A17" s="9"/>
      <c r="B17" s="10" t="s">
        <v>34</v>
      </c>
      <c r="C17" s="11"/>
      <c r="D17" s="69">
        <v>0</v>
      </c>
      <c r="E17" s="60"/>
      <c r="F17" s="7"/>
      <c r="G17" s="10" t="s">
        <v>35</v>
      </c>
      <c r="H17" s="11"/>
      <c r="I17" s="69">
        <f>D17/D14</f>
        <v>0</v>
      </c>
      <c r="J17" s="60"/>
    </row>
    <row r="18" spans="1:10" x14ac:dyDescent="0.2">
      <c r="A18" s="9"/>
      <c r="B18" s="10" t="s">
        <v>36</v>
      </c>
      <c r="C18" s="11"/>
      <c r="D18" s="59">
        <f>D15-D16</f>
        <v>0</v>
      </c>
      <c r="E18" s="60"/>
      <c r="F18" s="7"/>
      <c r="G18" s="10" t="s">
        <v>37</v>
      </c>
      <c r="H18" s="11"/>
      <c r="I18" s="74">
        <f>D18/D15</f>
        <v>0</v>
      </c>
      <c r="J18" s="75"/>
    </row>
    <row r="19" spans="1:10" x14ac:dyDescent="0.2">
      <c r="A19" s="9"/>
      <c r="B19" s="10" t="s">
        <v>38</v>
      </c>
      <c r="C19" s="11"/>
      <c r="D19" s="59">
        <v>17540</v>
      </c>
      <c r="E19" s="60"/>
      <c r="F19" s="7"/>
      <c r="G19" s="10" t="s">
        <v>39</v>
      </c>
      <c r="H19" s="11"/>
      <c r="I19" s="69">
        <f>D19/D13</f>
        <v>265.75757575757575</v>
      </c>
      <c r="J19" s="60"/>
    </row>
    <row r="20" spans="1:10" x14ac:dyDescent="0.2">
      <c r="A20" s="9"/>
      <c r="B20" s="10" t="s">
        <v>40</v>
      </c>
      <c r="C20" s="11"/>
      <c r="D20" s="59">
        <v>410</v>
      </c>
      <c r="E20" s="60"/>
      <c r="F20" s="7"/>
      <c r="G20" s="10" t="s">
        <v>41</v>
      </c>
      <c r="H20" s="11"/>
      <c r="I20" s="69">
        <f>D20/D13</f>
        <v>6.2121212121212119</v>
      </c>
      <c r="J20" s="60"/>
    </row>
    <row r="21" spans="1:10" ht="14.65" customHeight="1" x14ac:dyDescent="0.2">
      <c r="A21" s="9"/>
      <c r="B21" s="55" t="s">
        <v>42</v>
      </c>
      <c r="C21" s="56"/>
      <c r="D21" s="76" t="s">
        <v>43</v>
      </c>
      <c r="E21" s="77"/>
      <c r="F21" s="7"/>
      <c r="G21" s="10" t="s">
        <v>44</v>
      </c>
      <c r="H21" s="11"/>
      <c r="I21" s="69">
        <v>0</v>
      </c>
      <c r="J21" s="60"/>
    </row>
    <row r="22" spans="1:10" x14ac:dyDescent="0.2">
      <c r="B22" s="57"/>
      <c r="C22" s="58"/>
      <c r="D22" s="78"/>
      <c r="E22" s="79"/>
      <c r="J22" s="43"/>
    </row>
    <row r="23" spans="1:10" ht="14.1" customHeight="1" x14ac:dyDescent="0.2"/>
    <row r="24" spans="1:10" ht="18.75" x14ac:dyDescent="0.25">
      <c r="A24" s="14" t="s">
        <v>45</v>
      </c>
    </row>
    <row r="25" spans="1:10" x14ac:dyDescent="0.2">
      <c r="A25" s="9"/>
      <c r="B25" s="70" t="s">
        <v>46</v>
      </c>
      <c r="C25" s="71"/>
      <c r="D25" s="70" t="s">
        <v>47</v>
      </c>
      <c r="E25" s="71"/>
      <c r="G25" s="70" t="s">
        <v>46</v>
      </c>
      <c r="H25" s="71"/>
      <c r="I25" s="70" t="s">
        <v>47</v>
      </c>
      <c r="J25" s="71"/>
    </row>
    <row r="26" spans="1:10" x14ac:dyDescent="0.2">
      <c r="A26" s="9"/>
      <c r="B26" s="63">
        <v>1363</v>
      </c>
      <c r="C26" s="64"/>
      <c r="D26" s="72">
        <v>18</v>
      </c>
      <c r="E26" s="73"/>
      <c r="G26" s="63">
        <v>3642</v>
      </c>
      <c r="H26" s="64"/>
      <c r="I26" s="72" t="s">
        <v>48</v>
      </c>
      <c r="J26" s="73"/>
    </row>
    <row r="27" spans="1:10" x14ac:dyDescent="0.2">
      <c r="A27" s="9"/>
      <c r="B27" s="63">
        <v>2578</v>
      </c>
      <c r="C27" s="64"/>
      <c r="D27" s="72">
        <v>22</v>
      </c>
      <c r="E27" s="73"/>
      <c r="G27" s="63">
        <v>5236</v>
      </c>
      <c r="H27" s="64"/>
      <c r="I27" s="72">
        <v>19</v>
      </c>
      <c r="J27" s="73"/>
    </row>
    <row r="28" spans="1:10" x14ac:dyDescent="0.2">
      <c r="A28" s="9"/>
      <c r="B28" s="63">
        <v>1361</v>
      </c>
      <c r="C28" s="64"/>
      <c r="D28" s="72" t="s">
        <v>49</v>
      </c>
      <c r="E28" s="73"/>
      <c r="G28" s="63">
        <v>8356</v>
      </c>
      <c r="H28" s="64"/>
      <c r="I28" s="72">
        <v>20</v>
      </c>
      <c r="J28" s="73"/>
    </row>
    <row r="31" spans="1:10" ht="18.75" x14ac:dyDescent="0.25">
      <c r="A31" s="14" t="s">
        <v>50</v>
      </c>
    </row>
    <row r="32" spans="1:10" x14ac:dyDescent="0.2">
      <c r="D32" s="70" t="s">
        <v>51</v>
      </c>
      <c r="E32" s="82"/>
      <c r="F32" s="71"/>
      <c r="G32" s="80">
        <f>Checklist!D59</f>
        <v>0.89030303030303026</v>
      </c>
      <c r="H32" s="81"/>
    </row>
    <row r="33" spans="1:8" x14ac:dyDescent="0.2">
      <c r="D33" s="70" t="s">
        <v>52</v>
      </c>
      <c r="E33" s="82"/>
      <c r="F33" s="71"/>
      <c r="G33" s="80">
        <f>AVERAGE((Checklist!D14/25),(Checklist!D44/50))</f>
        <v>0.95530303030303032</v>
      </c>
      <c r="H33" s="81"/>
    </row>
    <row r="34" spans="1:8" x14ac:dyDescent="0.2">
      <c r="D34" s="70" t="s">
        <v>53</v>
      </c>
      <c r="E34" s="82"/>
      <c r="F34" s="71"/>
      <c r="G34" s="80">
        <f>I18</f>
        <v>0</v>
      </c>
      <c r="H34" s="81"/>
    </row>
    <row r="35" spans="1:8" x14ac:dyDescent="0.2">
      <c r="D35" s="70" t="s">
        <v>54</v>
      </c>
      <c r="E35" s="82"/>
      <c r="F35" s="71"/>
      <c r="G35" s="80">
        <f>D19/D15</f>
        <v>0.60601872646235699</v>
      </c>
      <c r="H35" s="81"/>
    </row>
    <row r="37" spans="1:8" ht="18.75" x14ac:dyDescent="0.25">
      <c r="A37" s="14" t="s">
        <v>55</v>
      </c>
    </row>
    <row r="38" spans="1:8" x14ac:dyDescent="0.2">
      <c r="A38" s="53" t="s">
        <v>56</v>
      </c>
    </row>
    <row r="39" spans="1:8" x14ac:dyDescent="0.2">
      <c r="A39" s="52" t="s">
        <v>57</v>
      </c>
    </row>
    <row r="40" spans="1:8" x14ac:dyDescent="0.2">
      <c r="A40" s="52" t="s">
        <v>58</v>
      </c>
    </row>
    <row r="41" spans="1:8" x14ac:dyDescent="0.2">
      <c r="A41" s="53" t="s">
        <v>59</v>
      </c>
    </row>
    <row r="42" spans="1:8" x14ac:dyDescent="0.2">
      <c r="A42" s="52" t="s">
        <v>60</v>
      </c>
    </row>
    <row r="43" spans="1:8" x14ac:dyDescent="0.2">
      <c r="A43" s="52" t="s">
        <v>61</v>
      </c>
    </row>
    <row r="44" spans="1:8" x14ac:dyDescent="0.2">
      <c r="A44" s="52" t="s">
        <v>62</v>
      </c>
    </row>
    <row r="45" spans="1:8" x14ac:dyDescent="0.2">
      <c r="A45" s="53" t="s">
        <v>63</v>
      </c>
    </row>
    <row r="46" spans="1:8" x14ac:dyDescent="0.2">
      <c r="A46" s="52" t="s">
        <v>64</v>
      </c>
    </row>
    <row r="47" spans="1:8" x14ac:dyDescent="0.2">
      <c r="A47" s="52" t="s">
        <v>65</v>
      </c>
    </row>
    <row r="48" spans="1:8" x14ac:dyDescent="0.2">
      <c r="A48" s="54" t="s">
        <v>66</v>
      </c>
    </row>
    <row r="49" spans="1:1" x14ac:dyDescent="0.2">
      <c r="A49" s="54" t="s">
        <v>67</v>
      </c>
    </row>
    <row r="50" spans="1:1" x14ac:dyDescent="0.2">
      <c r="A50" s="54" t="s">
        <v>68</v>
      </c>
    </row>
    <row r="51" spans="1:1" x14ac:dyDescent="0.2">
      <c r="A51" s="54" t="s">
        <v>69</v>
      </c>
    </row>
  </sheetData>
  <mergeCells count="51">
    <mergeCell ref="G35:H35"/>
    <mergeCell ref="D32:F32"/>
    <mergeCell ref="D33:F33"/>
    <mergeCell ref="D34:F34"/>
    <mergeCell ref="D35:F35"/>
    <mergeCell ref="B25:C25"/>
    <mergeCell ref="G32:H32"/>
    <mergeCell ref="G33:H33"/>
    <mergeCell ref="G34:H34"/>
    <mergeCell ref="D28:E28"/>
    <mergeCell ref="G25:H25"/>
    <mergeCell ref="B28:C28"/>
    <mergeCell ref="B27:C27"/>
    <mergeCell ref="B26:C26"/>
    <mergeCell ref="G28:H28"/>
    <mergeCell ref="G27:H27"/>
    <mergeCell ref="G26:H26"/>
    <mergeCell ref="D27:E27"/>
    <mergeCell ref="D26:E26"/>
    <mergeCell ref="I25:J25"/>
    <mergeCell ref="D25:E25"/>
    <mergeCell ref="I17:J17"/>
    <mergeCell ref="D17:E17"/>
    <mergeCell ref="I28:J28"/>
    <mergeCell ref="I26:J26"/>
    <mergeCell ref="I27:J27"/>
    <mergeCell ref="I18:J18"/>
    <mergeCell ref="I19:J19"/>
    <mergeCell ref="I20:J20"/>
    <mergeCell ref="I21:J21"/>
    <mergeCell ref="D20:E20"/>
    <mergeCell ref="D18:E18"/>
    <mergeCell ref="D19:E19"/>
    <mergeCell ref="D21:E22"/>
    <mergeCell ref="I13:J13"/>
    <mergeCell ref="I14:J14"/>
    <mergeCell ref="I15:J15"/>
    <mergeCell ref="I16:J16"/>
    <mergeCell ref="D15:E15"/>
    <mergeCell ref="I9:J9"/>
    <mergeCell ref="I10:J10"/>
    <mergeCell ref="I11:J11"/>
    <mergeCell ref="D10:E10"/>
    <mergeCell ref="D11:E11"/>
    <mergeCell ref="B21:C22"/>
    <mergeCell ref="D16:E16"/>
    <mergeCell ref="D8:E8"/>
    <mergeCell ref="D9:E9"/>
    <mergeCell ref="D12:E12"/>
    <mergeCell ref="D13:E13"/>
    <mergeCell ref="D14:E14"/>
  </mergeCells>
  <phoneticPr fontId="6" type="noConversion"/>
  <printOptions horizontalCentered="1"/>
  <pageMargins left="0.25" right="0.25" top="0.75" bottom="0.75" header="0.3" footer="0.3"/>
  <pageSetup paperSize="9" scale="95" orientation="portrait" r:id="rId1"/>
  <headerFooter>
    <oddHeader xml:space="preserve">&amp;L&amp;G&amp;R&amp;"+,Bold"United Grocers Co.  &amp;"-,Regular"
</oddHeader>
    <oddFooter>&amp;LQP-23-FM-01</oddFooter>
  </headerFooter>
  <ignoredErrors>
    <ignoredError sqref="I16" formula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9"/>
  <sheetViews>
    <sheetView showRowColHeaders="0" showRuler="0" topLeftCell="A35" zoomScaleNormal="100" zoomScalePageLayoutView="70" workbookViewId="0">
      <selection activeCell="C40" sqref="C40"/>
    </sheetView>
  </sheetViews>
  <sheetFormatPr defaultColWidth="8.7421875" defaultRowHeight="15" x14ac:dyDescent="0.2"/>
  <cols>
    <col min="1" max="1" width="37.26171875" style="17" customWidth="1"/>
    <col min="2" max="4" width="10.22265625" style="16" customWidth="1"/>
    <col min="5" max="5" width="52.59765625" style="17" customWidth="1"/>
    <col min="6" max="16384" width="8.7421875" style="17"/>
  </cols>
  <sheetData>
    <row r="1" spans="1:5" ht="19.5" thickBot="1" x14ac:dyDescent="0.3">
      <c r="A1" s="15" t="s">
        <v>70</v>
      </c>
      <c r="D1" s="50" t="s">
        <v>71</v>
      </c>
    </row>
    <row r="2" spans="1:5" x14ac:dyDescent="0.2">
      <c r="A2" s="21" t="s">
        <v>72</v>
      </c>
      <c r="B2" s="22" t="s">
        <v>73</v>
      </c>
      <c r="C2" s="23" t="s">
        <v>74</v>
      </c>
      <c r="D2" s="22" t="s">
        <v>75</v>
      </c>
      <c r="E2" s="24" t="s">
        <v>76</v>
      </c>
    </row>
    <row r="3" spans="1:5" x14ac:dyDescent="0.2">
      <c r="A3" s="25" t="s">
        <v>77</v>
      </c>
      <c r="B3" s="84"/>
      <c r="C3" s="85"/>
      <c r="D3" s="85"/>
      <c r="E3" s="86"/>
    </row>
    <row r="4" spans="1:5" ht="15" customHeight="1" x14ac:dyDescent="0.2">
      <c r="A4" s="27" t="s">
        <v>78</v>
      </c>
      <c r="B4" s="18">
        <v>5</v>
      </c>
      <c r="C4" s="18"/>
      <c r="D4" s="19">
        <f>(Evaluation!D13-Checklist!C4)/Evaluation!D13*Checklist!B4</f>
        <v>5</v>
      </c>
      <c r="E4" s="42"/>
    </row>
    <row r="5" spans="1:5" x14ac:dyDescent="0.2">
      <c r="A5" s="27" t="s">
        <v>79</v>
      </c>
      <c r="B5" s="18">
        <v>5</v>
      </c>
      <c r="C5" s="18"/>
      <c r="D5" s="19">
        <f>(Evaluation!D13-Checklist!C5)/Evaluation!D13*Checklist!B5</f>
        <v>5</v>
      </c>
      <c r="E5" s="42"/>
    </row>
    <row r="6" spans="1:5" x14ac:dyDescent="0.2">
      <c r="A6" s="25" t="s">
        <v>80</v>
      </c>
      <c r="B6" s="18">
        <v>1</v>
      </c>
      <c r="C6" s="18"/>
      <c r="D6" s="19">
        <f>(Evaluation!D13-Checklist!C6)/Evaluation!D13*Checklist!B6</f>
        <v>1</v>
      </c>
      <c r="E6" s="26"/>
    </row>
    <row r="7" spans="1:5" x14ac:dyDescent="0.2">
      <c r="A7" s="25" t="s">
        <v>81</v>
      </c>
      <c r="B7" s="18">
        <v>5</v>
      </c>
      <c r="C7" s="18"/>
      <c r="D7" s="19">
        <f>(Evaluation!D13-Checklist!C7)/Evaluation!D13*Checklist!B7</f>
        <v>5</v>
      </c>
      <c r="E7" s="42"/>
    </row>
    <row r="8" spans="1:5" x14ac:dyDescent="0.2">
      <c r="A8" s="25" t="s">
        <v>82</v>
      </c>
      <c r="B8" s="18">
        <v>3</v>
      </c>
      <c r="C8" s="18"/>
      <c r="D8" s="19">
        <f>(Evaluation!D13-Checklist!C8)/Evaluation!D13*Checklist!B8</f>
        <v>3</v>
      </c>
      <c r="E8" s="26"/>
    </row>
    <row r="9" spans="1:5" x14ac:dyDescent="0.2">
      <c r="A9" s="25" t="s">
        <v>83</v>
      </c>
      <c r="B9" s="18">
        <v>1</v>
      </c>
      <c r="C9" s="18"/>
      <c r="D9" s="19">
        <v>1</v>
      </c>
      <c r="E9" s="26"/>
    </row>
    <row r="10" spans="1:5" x14ac:dyDescent="0.2">
      <c r="A10" s="25" t="s">
        <v>84</v>
      </c>
      <c r="B10" s="18">
        <v>1</v>
      </c>
      <c r="C10" s="18"/>
      <c r="D10" s="19">
        <v>1</v>
      </c>
      <c r="E10" s="26"/>
    </row>
    <row r="11" spans="1:5" x14ac:dyDescent="0.2">
      <c r="A11" s="25" t="s">
        <v>85</v>
      </c>
      <c r="B11" s="18">
        <v>1</v>
      </c>
      <c r="C11" s="41"/>
      <c r="D11" s="19">
        <f>(Evaluation!D13-Checklist!C11)/Evaluation!D13*Checklist!B11</f>
        <v>1</v>
      </c>
      <c r="E11" s="26"/>
    </row>
    <row r="12" spans="1:5" x14ac:dyDescent="0.2">
      <c r="A12" s="25" t="s">
        <v>86</v>
      </c>
      <c r="B12" s="18">
        <v>1</v>
      </c>
      <c r="C12" s="18"/>
      <c r="D12" s="19">
        <f>(Evaluation!D13-Checklist!C12)/Evaluation!D13*Checklist!B12</f>
        <v>1</v>
      </c>
      <c r="E12" s="26"/>
    </row>
    <row r="13" spans="1:5" ht="15.75" thickBot="1" x14ac:dyDescent="0.25">
      <c r="A13" s="28" t="s">
        <v>87</v>
      </c>
      <c r="B13" s="29">
        <v>2</v>
      </c>
      <c r="C13" s="30"/>
      <c r="D13" s="31">
        <f>(Evaluation!D13-Checklist!C13)/Evaluation!D13*Checklist!B13</f>
        <v>2</v>
      </c>
      <c r="E13" s="49"/>
    </row>
    <row r="14" spans="1:5" ht="15.75" thickBot="1" x14ac:dyDescent="0.25">
      <c r="B14" s="32" t="s">
        <v>88</v>
      </c>
      <c r="C14" s="33"/>
      <c r="D14" s="34">
        <f>SUM(D4:D13)</f>
        <v>25</v>
      </c>
      <c r="E14" s="20"/>
    </row>
    <row r="15" spans="1:5" ht="6.75" customHeight="1" thickBot="1" x14ac:dyDescent="0.25">
      <c r="A15" s="44"/>
      <c r="B15" s="44"/>
      <c r="C15" s="44"/>
      <c r="D15" s="44"/>
      <c r="E15" s="44"/>
    </row>
    <row r="16" spans="1:5" x14ac:dyDescent="0.2">
      <c r="A16" s="21" t="s">
        <v>89</v>
      </c>
      <c r="B16" s="22">
        <v>5</v>
      </c>
      <c r="C16" s="22"/>
      <c r="D16" s="35"/>
      <c r="E16" s="36"/>
    </row>
    <row r="17" spans="1:5" x14ac:dyDescent="0.2">
      <c r="A17" s="25" t="s">
        <v>90</v>
      </c>
      <c r="B17" s="18">
        <v>1</v>
      </c>
      <c r="C17" s="18"/>
      <c r="D17" s="19">
        <v>0</v>
      </c>
      <c r="E17" s="42"/>
    </row>
    <row r="18" spans="1:5" x14ac:dyDescent="0.2">
      <c r="A18" s="25" t="s">
        <v>91</v>
      </c>
      <c r="B18" s="18">
        <v>2</v>
      </c>
      <c r="C18" s="18"/>
      <c r="D18" s="19">
        <v>0</v>
      </c>
      <c r="E18" s="26"/>
    </row>
    <row r="19" spans="1:5" ht="15.75" thickBot="1" x14ac:dyDescent="0.25">
      <c r="A19" s="28" t="s">
        <v>92</v>
      </c>
      <c r="B19" s="30">
        <v>2</v>
      </c>
      <c r="C19" s="30"/>
      <c r="D19" s="31">
        <v>0</v>
      </c>
      <c r="E19" s="37"/>
    </row>
    <row r="20" spans="1:5" ht="15.75" thickBot="1" x14ac:dyDescent="0.25">
      <c r="B20" s="32" t="s">
        <v>88</v>
      </c>
      <c r="C20" s="33"/>
      <c r="D20" s="34">
        <f>SUM(D17:D19)</f>
        <v>0</v>
      </c>
      <c r="E20" s="20"/>
    </row>
    <row r="21" spans="1:5" ht="6.75" customHeight="1" thickBot="1" x14ac:dyDescent="0.25">
      <c r="A21" s="44"/>
      <c r="B21" s="44"/>
      <c r="C21" s="44"/>
      <c r="D21" s="44"/>
      <c r="E21" s="44"/>
    </row>
    <row r="22" spans="1:5" x14ac:dyDescent="0.2">
      <c r="A22" s="21" t="s">
        <v>93</v>
      </c>
      <c r="B22" s="22">
        <v>50</v>
      </c>
      <c r="C22" s="22"/>
      <c r="D22" s="35"/>
      <c r="E22" s="36"/>
    </row>
    <row r="23" spans="1:5" x14ac:dyDescent="0.2">
      <c r="A23" s="25" t="s">
        <v>94</v>
      </c>
      <c r="B23" s="18">
        <v>3</v>
      </c>
      <c r="C23" s="18"/>
      <c r="D23" s="19">
        <f>(Evaluation!D13-Checklist!C23)/Evaluation!D13*Checklist!B23</f>
        <v>3</v>
      </c>
      <c r="E23" s="42"/>
    </row>
    <row r="24" spans="1:5" x14ac:dyDescent="0.2">
      <c r="A24" s="25" t="s">
        <v>95</v>
      </c>
      <c r="B24" s="18">
        <v>3</v>
      </c>
      <c r="C24" s="18"/>
      <c r="D24" s="19">
        <f>(Evaluation!D13-Checklist!C24)/Evaluation!D13*Checklist!B24</f>
        <v>3</v>
      </c>
      <c r="E24" s="26"/>
    </row>
    <row r="25" spans="1:5" x14ac:dyDescent="0.2">
      <c r="A25" s="25" t="s">
        <v>96</v>
      </c>
      <c r="B25" s="18">
        <v>5</v>
      </c>
      <c r="C25" s="18"/>
      <c r="D25" s="19">
        <f>(Evaluation!D13-Checklist!C25)/Evaluation!D13*Checklist!B25</f>
        <v>5</v>
      </c>
      <c r="E25" s="26"/>
    </row>
    <row r="26" spans="1:5" x14ac:dyDescent="0.2">
      <c r="A26" s="25" t="s">
        <v>97</v>
      </c>
      <c r="B26" s="18">
        <v>1</v>
      </c>
      <c r="C26" s="18"/>
      <c r="D26" s="19">
        <f>(Evaluation!D13-Checklist!C26)/Evaluation!D13*Checklist!B26</f>
        <v>1</v>
      </c>
      <c r="E26" s="42"/>
    </row>
    <row r="27" spans="1:5" ht="15" customHeight="1" x14ac:dyDescent="0.2">
      <c r="A27" s="25" t="s">
        <v>98</v>
      </c>
      <c r="B27" s="18">
        <v>5</v>
      </c>
      <c r="C27" s="18">
        <v>36</v>
      </c>
      <c r="D27" s="19">
        <f>(Evaluation!D13-Checklist!C27)/Evaluation!D13*Checklist!B27</f>
        <v>2.2727272727272725</v>
      </c>
      <c r="E27" s="48" t="s">
        <v>99</v>
      </c>
    </row>
    <row r="28" spans="1:5" ht="14.65" customHeight="1" x14ac:dyDescent="0.2">
      <c r="A28" s="25" t="s">
        <v>100</v>
      </c>
      <c r="B28" s="45"/>
      <c r="C28" s="46"/>
      <c r="D28" s="46"/>
      <c r="E28" s="47"/>
    </row>
    <row r="29" spans="1:5" x14ac:dyDescent="0.2">
      <c r="A29" s="27" t="s">
        <v>101</v>
      </c>
      <c r="B29" s="18">
        <v>1</v>
      </c>
      <c r="C29" s="18"/>
      <c r="D29" s="19">
        <f>(Evaluation!D13-Checklist!C29)/Evaluation!D13*Checklist!B29</f>
        <v>1</v>
      </c>
      <c r="E29" s="26"/>
    </row>
    <row r="30" spans="1:5" x14ac:dyDescent="0.2">
      <c r="A30" s="27" t="s">
        <v>102</v>
      </c>
      <c r="B30" s="18">
        <v>1</v>
      </c>
      <c r="C30" s="18"/>
      <c r="D30" s="19">
        <f>(Evaluation!D13-Checklist!C30)/Evaluation!D13*Checklist!B30</f>
        <v>1</v>
      </c>
      <c r="E30" s="26"/>
    </row>
    <row r="31" spans="1:5" ht="15" customHeight="1" x14ac:dyDescent="0.2">
      <c r="A31" s="27" t="s">
        <v>103</v>
      </c>
      <c r="B31" s="18">
        <v>2</v>
      </c>
      <c r="C31" s="18">
        <v>1</v>
      </c>
      <c r="D31" s="19">
        <f>(Evaluation!D13-Checklist!C31)/Evaluation!D13*Checklist!B31</f>
        <v>1.9696969696969697</v>
      </c>
      <c r="E31" s="26" t="s">
        <v>104</v>
      </c>
    </row>
    <row r="32" spans="1:5" x14ac:dyDescent="0.2">
      <c r="A32" s="27" t="s">
        <v>105</v>
      </c>
      <c r="B32" s="18">
        <v>1</v>
      </c>
      <c r="C32" s="18"/>
      <c r="D32" s="19">
        <f>(Evaluation!D13-Checklist!C32)/Evaluation!D13*Checklist!B32</f>
        <v>1</v>
      </c>
      <c r="E32" s="26"/>
    </row>
    <row r="33" spans="1:5" x14ac:dyDescent="0.2">
      <c r="A33" s="25" t="s">
        <v>106</v>
      </c>
      <c r="B33" s="18">
        <v>5</v>
      </c>
      <c r="C33" s="18">
        <v>1</v>
      </c>
      <c r="D33" s="19">
        <f>(Evaluation!D13-Checklist!C33)/Evaluation!D13*Checklist!B33</f>
        <v>4.9242424242424239</v>
      </c>
      <c r="E33" s="42" t="s">
        <v>107</v>
      </c>
    </row>
    <row r="34" spans="1:5" x14ac:dyDescent="0.2">
      <c r="A34" s="25" t="s">
        <v>108</v>
      </c>
      <c r="B34" s="18">
        <v>1</v>
      </c>
      <c r="C34" s="18"/>
      <c r="D34" s="19">
        <f>(Evaluation!D13-Checklist!C34)/Evaluation!D13*Checklist!B34</f>
        <v>1</v>
      </c>
      <c r="E34" s="42"/>
    </row>
    <row r="35" spans="1:5" x14ac:dyDescent="0.2">
      <c r="A35" s="25" t="s">
        <v>109</v>
      </c>
      <c r="B35" s="45"/>
      <c r="C35" s="46"/>
      <c r="D35" s="46"/>
      <c r="E35" s="47"/>
    </row>
    <row r="36" spans="1:5" x14ac:dyDescent="0.2">
      <c r="A36" s="27" t="s">
        <v>110</v>
      </c>
      <c r="B36" s="18">
        <v>2</v>
      </c>
      <c r="C36" s="18">
        <v>3</v>
      </c>
      <c r="D36" s="19">
        <f>(Evaluation!D13-Checklist!C36)/Evaluation!D13*Checklist!B36</f>
        <v>1.9090909090909092</v>
      </c>
      <c r="E36" s="42" t="s">
        <v>111</v>
      </c>
    </row>
    <row r="37" spans="1:5" x14ac:dyDescent="0.2">
      <c r="A37" s="27" t="s">
        <v>112</v>
      </c>
      <c r="B37" s="18">
        <v>2</v>
      </c>
      <c r="C37" s="18">
        <v>4</v>
      </c>
      <c r="D37" s="19">
        <f>(Evaluation!D13-Checklist!C37)/Evaluation!D13*Checklist!B37</f>
        <v>1.8787878787878789</v>
      </c>
      <c r="E37" s="42" t="s">
        <v>113</v>
      </c>
    </row>
    <row r="38" spans="1:5" x14ac:dyDescent="0.2">
      <c r="A38" s="27" t="s">
        <v>114</v>
      </c>
      <c r="B38" s="18">
        <v>2</v>
      </c>
      <c r="C38" s="18">
        <v>6</v>
      </c>
      <c r="D38" s="19">
        <f>(Evaluation!D13-Checklist!C38)/Evaluation!D13*Checklist!B38</f>
        <v>1.8181818181818181</v>
      </c>
      <c r="E38" s="42" t="s">
        <v>115</v>
      </c>
    </row>
    <row r="39" spans="1:5" x14ac:dyDescent="0.2">
      <c r="A39" s="27" t="s">
        <v>116</v>
      </c>
      <c r="B39" s="18">
        <v>2</v>
      </c>
      <c r="C39" s="18">
        <v>1</v>
      </c>
      <c r="D39" s="19">
        <f>(Evaluation!D13-Checklist!C39)/Evaluation!D13*Checklist!B39</f>
        <v>1.9696969696969697</v>
      </c>
      <c r="E39" s="42" t="s">
        <v>117</v>
      </c>
    </row>
    <row r="40" spans="1:5" x14ac:dyDescent="0.2">
      <c r="A40" s="25" t="s">
        <v>118</v>
      </c>
      <c r="B40" s="18">
        <v>3</v>
      </c>
      <c r="C40" s="18"/>
      <c r="D40" s="19">
        <f>(Evaluation!D13-Checklist!C40)/Evaluation!D13*Checklist!B40</f>
        <v>3</v>
      </c>
      <c r="E40" s="42"/>
    </row>
    <row r="41" spans="1:5" x14ac:dyDescent="0.2">
      <c r="A41" s="25" t="s">
        <v>119</v>
      </c>
      <c r="B41" s="18">
        <v>5</v>
      </c>
      <c r="C41" s="18"/>
      <c r="D41" s="19">
        <f>(Evaluation!D13-Checklist!C41)/Evaluation!D13*Checklist!B41</f>
        <v>5</v>
      </c>
      <c r="E41" s="42"/>
    </row>
    <row r="42" spans="1:5" x14ac:dyDescent="0.2">
      <c r="A42" s="25" t="s">
        <v>42</v>
      </c>
      <c r="B42" s="18">
        <v>5</v>
      </c>
      <c r="C42" s="18">
        <v>16</v>
      </c>
      <c r="D42" s="19">
        <f>(Evaluation!D13-Checklist!C42)/Evaluation!D13*Checklist!B42</f>
        <v>3.7878787878787881</v>
      </c>
      <c r="E42" s="42" t="s">
        <v>43</v>
      </c>
    </row>
    <row r="43" spans="1:5" ht="15.75" thickBot="1" x14ac:dyDescent="0.25">
      <c r="A43" s="28" t="s">
        <v>120</v>
      </c>
      <c r="B43" s="30">
        <v>1</v>
      </c>
      <c r="C43" s="30"/>
      <c r="D43" s="31">
        <f>(Evaluation!D13-Checklist!C43)/Evaluation!D13*Checklist!B43</f>
        <v>1</v>
      </c>
      <c r="E43" s="37"/>
    </row>
    <row r="44" spans="1:5" ht="15.75" thickBot="1" x14ac:dyDescent="0.25">
      <c r="B44" s="32" t="s">
        <v>88</v>
      </c>
      <c r="C44" s="33"/>
      <c r="D44" s="38">
        <f>SUM(D23:D43)</f>
        <v>45.530303030303031</v>
      </c>
      <c r="E44" s="20"/>
    </row>
    <row r="45" spans="1:5" ht="6.75" customHeight="1" thickBot="1" x14ac:dyDescent="0.25">
      <c r="A45" s="44"/>
      <c r="B45" s="44"/>
      <c r="C45" s="44"/>
      <c r="D45" s="44"/>
      <c r="E45" s="44"/>
    </row>
    <row r="46" spans="1:5" x14ac:dyDescent="0.2">
      <c r="A46" s="21" t="s">
        <v>121</v>
      </c>
      <c r="B46" s="22">
        <v>10</v>
      </c>
      <c r="C46" s="22"/>
      <c r="D46" s="35"/>
      <c r="E46" s="36"/>
    </row>
    <row r="47" spans="1:5" x14ac:dyDescent="0.2">
      <c r="A47" s="25" t="s">
        <v>122</v>
      </c>
      <c r="B47" s="18">
        <v>5</v>
      </c>
      <c r="C47" s="18"/>
      <c r="D47" s="19">
        <f>(Evaluation!D13-Checklist!C47)/Evaluation!D13*Checklist!B47</f>
        <v>5</v>
      </c>
      <c r="E47" s="42"/>
    </row>
    <row r="48" spans="1:5" x14ac:dyDescent="0.2">
      <c r="A48" s="25" t="s">
        <v>123</v>
      </c>
      <c r="B48" s="18">
        <v>3</v>
      </c>
      <c r="C48" s="18"/>
      <c r="D48" s="19">
        <f>(Evaluation!D13-Checklist!C48)/Evaluation!D13*Checklist!B48</f>
        <v>3</v>
      </c>
      <c r="E48" s="26"/>
    </row>
    <row r="49" spans="1:5" x14ac:dyDescent="0.2">
      <c r="A49" s="25" t="s">
        <v>124</v>
      </c>
      <c r="B49" s="18">
        <v>1</v>
      </c>
      <c r="C49" s="18"/>
      <c r="D49" s="19">
        <f>(Evaluation!D13-Checklist!C49)/Evaluation!D13*Checklist!B49</f>
        <v>1</v>
      </c>
      <c r="E49" s="26"/>
    </row>
    <row r="50" spans="1:5" ht="15.75" thickBot="1" x14ac:dyDescent="0.25">
      <c r="A50" s="28" t="s">
        <v>125</v>
      </c>
      <c r="B50" s="30">
        <v>1</v>
      </c>
      <c r="C50" s="30"/>
      <c r="D50" s="31">
        <f>(Evaluation!D13-Checklist!C50)/Evaluation!D13*Checklist!B50</f>
        <v>1</v>
      </c>
      <c r="E50" s="37"/>
    </row>
    <row r="51" spans="1:5" ht="15.75" thickBot="1" x14ac:dyDescent="0.25">
      <c r="B51" s="32" t="s">
        <v>88</v>
      </c>
      <c r="C51" s="33"/>
      <c r="D51" s="34">
        <f>SUM(D47:D50)</f>
        <v>10</v>
      </c>
      <c r="E51" s="20"/>
    </row>
    <row r="52" spans="1:5" ht="6.75" customHeight="1" thickBot="1" x14ac:dyDescent="0.25">
      <c r="A52" s="83"/>
      <c r="B52" s="83"/>
      <c r="C52" s="83"/>
      <c r="D52" s="83"/>
      <c r="E52" s="83"/>
    </row>
    <row r="53" spans="1:5" x14ac:dyDescent="0.2">
      <c r="A53" s="21" t="s">
        <v>126</v>
      </c>
      <c r="B53" s="22">
        <v>10</v>
      </c>
      <c r="C53" s="22"/>
      <c r="D53" s="35"/>
      <c r="E53" s="36"/>
    </row>
    <row r="54" spans="1:5" x14ac:dyDescent="0.2">
      <c r="A54" s="25" t="s">
        <v>127</v>
      </c>
      <c r="B54" s="18">
        <v>3</v>
      </c>
      <c r="C54" s="18"/>
      <c r="D54" s="19">
        <v>1.5</v>
      </c>
      <c r="E54" s="42"/>
    </row>
    <row r="55" spans="1:5" x14ac:dyDescent="0.2">
      <c r="A55" s="25" t="s">
        <v>128</v>
      </c>
      <c r="B55" s="18">
        <v>3</v>
      </c>
      <c r="C55" s="18"/>
      <c r="D55" s="19">
        <f>(Evaluation!D13-Checklist!C55)/Evaluation!D13*Checklist!B55</f>
        <v>3</v>
      </c>
      <c r="E55" s="26"/>
    </row>
    <row r="56" spans="1:5" x14ac:dyDescent="0.2">
      <c r="A56" s="27" t="s">
        <v>129</v>
      </c>
      <c r="B56" s="18">
        <v>2</v>
      </c>
      <c r="C56" s="18"/>
      <c r="D56" s="19">
        <f>(Evaluation!D13-Checklist!C56)/Evaluation!D13*Checklist!B56</f>
        <v>2</v>
      </c>
      <c r="E56" s="26"/>
    </row>
    <row r="57" spans="1:5" ht="15.75" thickBot="1" x14ac:dyDescent="0.25">
      <c r="A57" s="39" t="s">
        <v>130</v>
      </c>
      <c r="B57" s="30">
        <v>2</v>
      </c>
      <c r="C57" s="30"/>
      <c r="D57" s="31">
        <f>(Evaluation!D13-Checklist!C57)/Evaluation!D13*Checklist!B57</f>
        <v>2</v>
      </c>
      <c r="E57" s="37"/>
    </row>
    <row r="58" spans="1:5" ht="15.75" thickBot="1" x14ac:dyDescent="0.25">
      <c r="B58" s="32" t="s">
        <v>88</v>
      </c>
      <c r="C58" s="33"/>
      <c r="D58" s="34">
        <f>SUM(D54:D57)</f>
        <v>8.5</v>
      </c>
      <c r="E58" s="20"/>
    </row>
    <row r="59" spans="1:5" ht="15.75" thickBot="1" x14ac:dyDescent="0.25">
      <c r="B59" s="32" t="s">
        <v>131</v>
      </c>
      <c r="C59" s="33"/>
      <c r="D59" s="40">
        <f>SUM(D58,D51,D44,D20,D14)/100</f>
        <v>0.89030303030303026</v>
      </c>
    </row>
  </sheetData>
  <mergeCells count="2">
    <mergeCell ref="A52:E52"/>
    <mergeCell ref="B3:E3"/>
  </mergeCells>
  <printOptions horizontalCentered="1"/>
  <pageMargins left="0.25" right="0.25" top="0.75" bottom="0.75" header="0.3" footer="0.3"/>
  <pageSetup paperSize="9" scale="86" orientation="portrait" r:id="rId1"/>
  <headerFooter>
    <oddHeader xml:space="preserve">&amp;L&amp;G&amp;R&amp;"+,Bold"United Grocers Co.  </oddHeader>
    <oddFooter>&amp;LQP-23-FM-01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15"/>
  <sheetViews>
    <sheetView showRuler="0" zoomScaleNormal="100" workbookViewId="0">
      <selection activeCell="G10" sqref="G10"/>
    </sheetView>
  </sheetViews>
  <sheetFormatPr defaultRowHeight="15" x14ac:dyDescent="0.2"/>
  <sheetData>
    <row r="1" spans="1:1" x14ac:dyDescent="0.2">
      <c r="A1" s="51"/>
    </row>
    <row r="2" spans="1:1" x14ac:dyDescent="0.2">
      <c r="A2" s="51"/>
    </row>
    <row r="15" spans="1:1" x14ac:dyDescent="0.2">
      <c r="A15" s="51"/>
    </row>
  </sheetData>
  <pageMargins left="0.25" right="0.25" top="0.75" bottom="0.75" header="0.3" footer="0.3"/>
  <pageSetup paperSize="9" orientation="portrait" r:id="rId1"/>
  <headerFooter>
    <oddHeader xml:space="preserve">&amp;L&amp;G&amp;RUnited Grocers Co.  </oddHeader>
    <oddFooter>&amp;LQP-23-FM-01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970a67-efb8-46a6-8c8e-a670e1031e4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081D17CA835F4F9273292A030611F3" ma:contentTypeVersion="18" ma:contentTypeDescription="Create a new document." ma:contentTypeScope="" ma:versionID="1c3df985684d91741048749516b12dc7">
  <xsd:schema xmlns:xsd="http://www.w3.org/2001/XMLSchema" xmlns:xs="http://www.w3.org/2001/XMLSchema" xmlns:p="http://schemas.microsoft.com/office/2006/metadata/properties" xmlns:ns3="09970a67-efb8-46a6-8c8e-a670e1031e49" xmlns:ns4="b8746221-4eee-452b-ab50-7adb2382ad46" targetNamespace="http://schemas.microsoft.com/office/2006/metadata/properties" ma:root="true" ma:fieldsID="ad9c629bc9d6c0bdee04571bb5d5389e" ns3:_="" ns4:_="">
    <xsd:import namespace="09970a67-efb8-46a6-8c8e-a670e1031e49"/>
    <xsd:import namespace="b8746221-4eee-452b-ab50-7adb2382ad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970a67-efb8-46a6-8c8e-a670e1031e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46221-4eee-452b-ab50-7adb2382ad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B05687-0FF6-469C-9970-15CB3F0E2D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CD9DF6-C4E8-4FB5-92E7-D9C3AE6EC674}">
  <ds:schemaRefs>
    <ds:schemaRef ds:uri="http://schemas.microsoft.com/office/2006/metadata/properties"/>
    <ds:schemaRef ds:uri="http://www.w3.org/2000/xmlns/"/>
    <ds:schemaRef ds:uri="09970a67-efb8-46a6-8c8e-a670e1031e49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6917B2B2-F65B-467A-91C8-B9BB9BB9094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9970a67-efb8-46a6-8c8e-a670e1031e49"/>
    <ds:schemaRef ds:uri="b8746221-4eee-452b-ab50-7adb2382ad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Evaluation</vt:lpstr>
      <vt:lpstr>Checklist</vt:lpstr>
      <vt:lpstr>Related pictures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Mostafa Abd Elrazik</dc:creator>
  <cp:keywords/>
  <dc:description/>
  <cp:lastModifiedBy>Ahmed Gasser Mahmoud</cp:lastModifiedBy>
  <cp:revision/>
  <dcterms:created xsi:type="dcterms:W3CDTF">2022-12-22T09:17:22Z</dcterms:created>
  <dcterms:modified xsi:type="dcterms:W3CDTF">2026-09-22T14:18:27Z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0x01010044081D17CA835F4F9273292A030611F3</vt:lpwstr>
  </property>
</Properties>
</file>